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DD\Downloads\"/>
    </mc:Choice>
  </mc:AlternateContent>
  <xr:revisionPtr revIDLastSave="0" documentId="13_ncr:1_{64366438-3E79-4E19-8FA1-58F5ECC50B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B50" i="1"/>
  <c r="E7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G46" i="1" l="1"/>
  <c r="E33" i="1"/>
  <c r="G33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59" i="1"/>
  <c r="C60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<sst xmlns="http://schemas.openxmlformats.org/spreadsheetml/2006/main" count="134" uniqueCount="68">
  <si>
    <t>INTEGRANTES</t>
  </si>
  <si>
    <t>Nota docente asignatura</t>
  </si>
  <si>
    <t>Nota comision</t>
  </si>
  <si>
    <t>Nota final</t>
  </si>
  <si>
    <t>Nota Juan Gana</t>
  </si>
  <si>
    <t>Nota Osnellys</t>
  </si>
  <si>
    <t>Nota Final Comisión</t>
  </si>
  <si>
    <t>PARDO EDISON</t>
  </si>
  <si>
    <t>GONZALEZ ALEXIS</t>
  </si>
  <si>
    <t>ACEVEDO DIEGO</t>
  </si>
  <si>
    <t>CHICAHUAN RENATO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</si>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</sst>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0" fillId="0" borderId="16" xfId="0" applyBorder="1"/>
    <xf numFmtId="0" fontId="13" fillId="8" borderId="16" xfId="0" applyFont="1" applyFill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B2" zoomScale="120" zoomScaleNormal="120" workbookViewId="0">
      <selection activeCell="F4" sqref="F4:H7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5" width="11.7109375" customWidth="1"/>
    <col min="6" max="6" width="11.140625" bestFit="1" customWidth="1"/>
    <col min="7" max="7" width="13.28515625" bestFit="1" customWidth="1"/>
    <col min="8" max="8" width="18.85546875" bestFit="1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8">
        <v>0.7</v>
      </c>
      <c r="D2" s="31">
        <v>0.3</v>
      </c>
      <c r="E2" s="32">
        <v>1</v>
      </c>
    </row>
    <row r="3" spans="1:11" ht="30">
      <c r="B3" s="2" t="s">
        <v>0</v>
      </c>
      <c r="C3" s="29" t="s">
        <v>1</v>
      </c>
      <c r="D3" s="33" t="s">
        <v>2</v>
      </c>
      <c r="E3" s="34" t="s">
        <v>3</v>
      </c>
      <c r="F3" s="33" t="s">
        <v>4</v>
      </c>
      <c r="G3" s="33" t="s">
        <v>5</v>
      </c>
      <c r="H3" s="33" t="s">
        <v>6</v>
      </c>
    </row>
    <row r="4" spans="1:11">
      <c r="A4" s="3">
        <v>1</v>
      </c>
      <c r="B4" s="39" t="s">
        <v>7</v>
      </c>
      <c r="C4" s="30">
        <f>C21</f>
        <v>6.3</v>
      </c>
      <c r="D4" s="36">
        <v>6.8</v>
      </c>
      <c r="E4" s="35">
        <f>C4*C$2+D4*D$2</f>
        <v>6.4499999999999993</v>
      </c>
      <c r="F4" s="38"/>
      <c r="G4" s="38"/>
      <c r="H4" s="38"/>
    </row>
    <row r="5" spans="1:11">
      <c r="A5" s="3">
        <v>2</v>
      </c>
      <c r="B5" s="39" t="s">
        <v>8</v>
      </c>
      <c r="C5" s="30">
        <f>C34</f>
        <v>6.3</v>
      </c>
      <c r="D5" s="36">
        <v>6.5</v>
      </c>
      <c r="E5" s="35">
        <f t="shared" ref="E5:E6" si="0">C5*C$2+D5*D$2</f>
        <v>6.3599999999999994</v>
      </c>
      <c r="F5" s="38"/>
      <c r="G5" s="38"/>
      <c r="H5" s="38"/>
    </row>
    <row r="6" spans="1:11">
      <c r="A6" s="3">
        <v>3</v>
      </c>
      <c r="B6" s="39" t="s">
        <v>9</v>
      </c>
      <c r="C6" s="30">
        <f>C47</f>
        <v>6.3</v>
      </c>
      <c r="D6" s="36">
        <v>6.3</v>
      </c>
      <c r="E6" s="35">
        <f t="shared" si="0"/>
        <v>6.2999999999999989</v>
      </c>
      <c r="F6" s="38"/>
      <c r="G6" s="38"/>
      <c r="H6" s="38"/>
    </row>
    <row r="7" spans="1:11" ht="15" customHeight="1">
      <c r="A7" s="3">
        <v>4</v>
      </c>
      <c r="B7" s="39" t="s">
        <v>10</v>
      </c>
      <c r="C7" s="30">
        <f>+C60</f>
        <v>6.3</v>
      </c>
      <c r="D7" s="36">
        <v>6.6</v>
      </c>
      <c r="E7" s="35">
        <f t="shared" ref="E7" si="1">C7*C$2+D7*D$2</f>
        <v>6.3899999999999988</v>
      </c>
      <c r="F7" s="38"/>
      <c r="G7" s="38"/>
      <c r="H7" s="38"/>
    </row>
    <row r="11" spans="1:11" ht="18.75" outlineLevel="1">
      <c r="A11" s="40" t="s">
        <v>11</v>
      </c>
      <c r="B11" s="11" t="str">
        <f>B4</f>
        <v>PARDO EDISON</v>
      </c>
      <c r="C11" s="44" t="s">
        <v>12</v>
      </c>
      <c r="D11" s="45" t="s">
        <v>13</v>
      </c>
      <c r="E11" s="46"/>
      <c r="F11" s="46"/>
      <c r="G11" s="46"/>
      <c r="H11" s="46"/>
      <c r="I11" s="46"/>
      <c r="J11" s="46"/>
      <c r="K11" s="47"/>
    </row>
    <row r="12" spans="1:11" outlineLevel="1">
      <c r="A12" s="41"/>
      <c r="B12" s="15" t="s">
        <v>14</v>
      </c>
      <c r="C12" s="43"/>
      <c r="D12" s="45" t="s">
        <v>15</v>
      </c>
      <c r="E12" s="47"/>
      <c r="F12" s="45" t="s">
        <v>16</v>
      </c>
      <c r="G12" s="47"/>
      <c r="H12" s="48" t="s">
        <v>17</v>
      </c>
      <c r="I12" s="47"/>
      <c r="J12" s="45" t="s">
        <v>18</v>
      </c>
      <c r="K12" s="47"/>
    </row>
    <row r="13" spans="1:11" ht="24" outlineLevel="1">
      <c r="A13" s="42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15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>
      <c r="A14" s="42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16</v>
      </c>
      <c r="D14" s="12" t="str">
        <f t="shared" si="2"/>
        <v/>
      </c>
      <c r="E14" s="12" t="str">
        <f>IF(D14="X",100*0.25,"")</f>
        <v/>
      </c>
      <c r="F14" s="12" t="str">
        <f t="shared" si="3"/>
        <v>X</v>
      </c>
      <c r="G14" s="12">
        <f>IF(F14="X",60*0.25,"")</f>
        <v>15</v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>
      <c r="A15" s="42"/>
      <c r="B15" s="18" t="str">
        <f>RUBRICA!A6</f>
        <v>3. Responde las preguntas realizadas por la comisión, cumpliendo con los estándares de calidad de la disciplina.</v>
      </c>
      <c r="C15" s="16" t="s">
        <v>15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>
      <c r="A16" s="42"/>
      <c r="B16" s="18" t="str">
        <f>RUBRICA!A7</f>
        <v>4. Expone el Proyecto APT, considerando el formato y el tiempo establecido para la presentación.</v>
      </c>
      <c r="C16" s="16" t="s">
        <v>15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>
      <c r="A17" s="42"/>
      <c r="B17" s="18" t="str">
        <f>RUBRICA!A8</f>
        <v>5. Expresa sus ideas con fluidez, claridad y precisión, utilizando lenguaje técnico propio de la disciplina.</v>
      </c>
      <c r="C17" s="16" t="s">
        <v>15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>
      <c r="A18" s="42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15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>
      <c r="A19" s="42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15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>
      <c r="A20" s="41"/>
      <c r="B20" s="17" t="s">
        <v>19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3"/>
      <c r="B21" s="20" t="s">
        <v>20</v>
      </c>
      <c r="C21" s="14">
        <f>VLOOKUP(C20,ESCALA_IEP!A2:B202,2,FALSE)</f>
        <v>6.3</v>
      </c>
    </row>
    <row r="22" spans="1:11" ht="15.75" customHeight="1"/>
    <row r="23" spans="1:11" ht="15.75" customHeight="1"/>
    <row r="24" spans="1:11" ht="24" customHeight="1">
      <c r="A24" s="40" t="s">
        <v>11</v>
      </c>
      <c r="B24" s="11" t="str">
        <f>B5</f>
        <v>GONZALEZ ALEXIS</v>
      </c>
      <c r="C24" s="44" t="s">
        <v>12</v>
      </c>
      <c r="D24" s="45" t="s">
        <v>13</v>
      </c>
      <c r="E24" s="46"/>
      <c r="F24" s="46"/>
      <c r="G24" s="46"/>
      <c r="H24" s="46"/>
      <c r="I24" s="46"/>
      <c r="J24" s="46"/>
      <c r="K24" s="47"/>
    </row>
    <row r="25" spans="1:11" ht="24" customHeight="1">
      <c r="A25" s="41"/>
      <c r="B25" s="15" t="s">
        <v>14</v>
      </c>
      <c r="C25" s="43"/>
      <c r="D25" s="45" t="s">
        <v>15</v>
      </c>
      <c r="E25" s="47"/>
      <c r="F25" s="45" t="s">
        <v>16</v>
      </c>
      <c r="G25" s="47"/>
      <c r="H25" s="48" t="s">
        <v>17</v>
      </c>
      <c r="I25" s="47"/>
      <c r="J25" s="45" t="s">
        <v>18</v>
      </c>
      <c r="K25" s="47"/>
    </row>
    <row r="26" spans="1:11" ht="24" customHeight="1">
      <c r="A26" s="42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15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>
      <c r="A27" s="42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16</v>
      </c>
      <c r="D27" s="12" t="str">
        <f t="shared" si="8"/>
        <v/>
      </c>
      <c r="E27" s="12" t="str">
        <f>IF(D27="X",100*0.25,"")</f>
        <v/>
      </c>
      <c r="F27" s="12" t="str">
        <f t="shared" si="9"/>
        <v>X</v>
      </c>
      <c r="G27" s="12">
        <f>IF(F27="X",60*0.25,"")</f>
        <v>15</v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>
      <c r="A28" s="42"/>
      <c r="B28" s="18" t="str">
        <f>RUBRICA!A6</f>
        <v>3. Responde las preguntas realizadas por la comisión, cumpliendo con los estándares de calidad de la disciplina.</v>
      </c>
      <c r="C28" s="16" t="s">
        <v>15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>
      <c r="A29" s="42"/>
      <c r="B29" s="18" t="str">
        <f>RUBRICA!A7</f>
        <v>4. Expone el Proyecto APT, considerando el formato y el tiempo establecido para la presentación.</v>
      </c>
      <c r="C29" s="16" t="s">
        <v>15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>
      <c r="A30" s="42"/>
      <c r="B30" s="18" t="str">
        <f>RUBRICA!A8</f>
        <v>5. Expresa sus ideas con fluidez, claridad y precisión, utilizando lenguaje técnico propio de la disciplina.</v>
      </c>
      <c r="C30" s="16" t="s">
        <v>15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>
      <c r="A31" s="42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15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>
      <c r="A32" s="42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15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>
      <c r="A33" s="41"/>
      <c r="B33" s="17" t="s">
        <v>19</v>
      </c>
      <c r="C33" s="21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3"/>
      <c r="B34" s="20" t="s">
        <v>20</v>
      </c>
      <c r="C34" s="14">
        <f>VLOOKUP(C33,ESCALA_IEP!A15:B215,2,FALSE)</f>
        <v>6.3</v>
      </c>
    </row>
    <row r="35" spans="1:11" ht="16.149999999999999" customHeight="1"/>
    <row r="36" spans="1:11" ht="13.9" customHeight="1"/>
    <row r="37" spans="1:11" ht="24" customHeight="1">
      <c r="A37" s="40" t="s">
        <v>11</v>
      </c>
      <c r="B37" s="11" t="str">
        <f>B6</f>
        <v>ACEVEDO DIEGO</v>
      </c>
      <c r="C37" s="44" t="s">
        <v>12</v>
      </c>
      <c r="D37" s="45" t="s">
        <v>13</v>
      </c>
      <c r="E37" s="46"/>
      <c r="F37" s="46"/>
      <c r="G37" s="46"/>
      <c r="H37" s="46"/>
      <c r="I37" s="46"/>
      <c r="J37" s="46"/>
      <c r="K37" s="47"/>
    </row>
    <row r="38" spans="1:11" ht="24" customHeight="1">
      <c r="A38" s="41"/>
      <c r="B38" s="15" t="s">
        <v>14</v>
      </c>
      <c r="C38" s="43"/>
      <c r="D38" s="45" t="s">
        <v>15</v>
      </c>
      <c r="E38" s="47"/>
      <c r="F38" s="45" t="s">
        <v>16</v>
      </c>
      <c r="G38" s="47"/>
      <c r="H38" s="48" t="s">
        <v>17</v>
      </c>
      <c r="I38" s="47"/>
      <c r="J38" s="45" t="s">
        <v>18</v>
      </c>
      <c r="K38" s="47"/>
    </row>
    <row r="39" spans="1:11" ht="24" customHeight="1">
      <c r="A39" s="42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15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>
      <c r="A40" s="42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16</v>
      </c>
      <c r="D40" s="12" t="str">
        <f t="shared" si="13"/>
        <v/>
      </c>
      <c r="E40" s="12" t="str">
        <f>IF(D40="X",100*0.25,"")</f>
        <v/>
      </c>
      <c r="F40" s="12" t="str">
        <f t="shared" si="14"/>
        <v>X</v>
      </c>
      <c r="G40" s="12">
        <f>IF(F40="X",60*0.25,"")</f>
        <v>15</v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>
      <c r="A41" s="42"/>
      <c r="B41" s="18" t="str">
        <f>RUBRICA!A6</f>
        <v>3. Responde las preguntas realizadas por la comisión, cumpliendo con los estándares de calidad de la disciplina.</v>
      </c>
      <c r="C41" s="16" t="s">
        <v>15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>
      <c r="A42" s="42"/>
      <c r="B42" s="18" t="str">
        <f>RUBRICA!A7</f>
        <v>4. Expone el Proyecto APT, considerando el formato y el tiempo establecido para la presentación.</v>
      </c>
      <c r="C42" s="16" t="s">
        <v>15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>
      <c r="A43" s="42"/>
      <c r="B43" s="18" t="str">
        <f>RUBRICA!A8</f>
        <v>5. Expresa sus ideas con fluidez, claridad y precisión, utilizando lenguaje técnico propio de la disciplina.</v>
      </c>
      <c r="C43" s="16" t="s">
        <v>15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>
      <c r="A44" s="42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15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>
      <c r="A45" s="42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15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>
      <c r="A46" s="41"/>
      <c r="B46" s="17" t="s">
        <v>19</v>
      </c>
      <c r="C46" s="21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3"/>
      <c r="B47" s="20" t="s">
        <v>20</v>
      </c>
      <c r="C47" s="14">
        <f>VLOOKUP(C46,ESCALA_IEP!A28:B228,2,FALSE)</f>
        <v>6.3</v>
      </c>
    </row>
    <row r="48" spans="1:11" ht="15.75" customHeight="1"/>
    <row r="49" spans="1:11" ht="15.75" customHeight="1"/>
    <row r="50" spans="1:11" ht="24" customHeight="1">
      <c r="A50" s="49" t="s">
        <v>21</v>
      </c>
      <c r="B50" s="11" t="str">
        <f>+B7</f>
        <v>CHICAHUAN RENATO</v>
      </c>
      <c r="C50" s="44" t="s">
        <v>12</v>
      </c>
      <c r="D50" s="45" t="s">
        <v>13</v>
      </c>
      <c r="E50" s="46"/>
      <c r="F50" s="46"/>
      <c r="G50" s="46"/>
      <c r="H50" s="46"/>
      <c r="I50" s="46"/>
      <c r="J50" s="46"/>
      <c r="K50" s="47"/>
    </row>
    <row r="51" spans="1:11" ht="24" customHeight="1">
      <c r="A51" s="41"/>
      <c r="B51" s="15" t="s">
        <v>14</v>
      </c>
      <c r="C51" s="43"/>
      <c r="D51" s="45" t="s">
        <v>15</v>
      </c>
      <c r="E51" s="47"/>
      <c r="F51" s="45" t="s">
        <v>16</v>
      </c>
      <c r="G51" s="47"/>
      <c r="H51" s="48" t="s">
        <v>17</v>
      </c>
      <c r="I51" s="47"/>
      <c r="J51" s="45" t="s">
        <v>18</v>
      </c>
      <c r="K51" s="47"/>
    </row>
    <row r="52" spans="1:11" ht="24" customHeight="1">
      <c r="A52" s="42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15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>
      <c r="A53" s="42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16</v>
      </c>
      <c r="D53" s="12" t="str">
        <f t="shared" si="18"/>
        <v/>
      </c>
      <c r="E53" s="12" t="str">
        <f>IF(D53="X",100*0.25,"")</f>
        <v/>
      </c>
      <c r="F53" s="12" t="str">
        <f t="shared" si="19"/>
        <v>X</v>
      </c>
      <c r="G53" s="12">
        <f>IF(F53="X",60*0.25,"")</f>
        <v>15</v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>
      <c r="A54" s="42"/>
      <c r="B54" s="18" t="str">
        <f>RUBRICA!A6</f>
        <v>3. Responde las preguntas realizadas por la comisión, cumpliendo con los estándares de calidad de la disciplina.</v>
      </c>
      <c r="C54" s="16" t="s">
        <v>15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>
      <c r="A55" s="42"/>
      <c r="B55" s="18" t="str">
        <f>RUBRICA!A7</f>
        <v>4. Expone el Proyecto APT, considerando el formato y el tiempo establecido para la presentación.</v>
      </c>
      <c r="C55" s="16" t="s">
        <v>15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>
      <c r="A56" s="42"/>
      <c r="B56" s="18" t="str">
        <f>RUBRICA!A8</f>
        <v>5. Expresa sus ideas con fluidez, claridad y precisión, utilizando lenguaje técnico propio de la disciplina.</v>
      </c>
      <c r="C56" s="16" t="s">
        <v>15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>
      <c r="A57" s="42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15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>
      <c r="A58" s="42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15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>
      <c r="A59" s="41"/>
      <c r="B59" s="17" t="s">
        <v>19</v>
      </c>
      <c r="C59" s="21">
        <f>E59+G59+I59+K59</f>
        <v>90</v>
      </c>
      <c r="D59" s="13"/>
      <c r="E59" s="13">
        <f>SUM(E52:E58)</f>
        <v>75</v>
      </c>
      <c r="F59" s="13"/>
      <c r="G59" s="13">
        <f>SUM(G52:G58)</f>
        <v>15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3"/>
      <c r="B60" s="20" t="s">
        <v>20</v>
      </c>
      <c r="C60" s="14">
        <f>VLOOKUP(C59,ESCALA_IEP!A41:B241,2,FALSE)</f>
        <v>6.3</v>
      </c>
    </row>
    <row r="61" spans="1:11" ht="15.75" customHeight="1"/>
    <row r="62" spans="1:11" ht="15.75" customHeight="1"/>
    <row r="63" spans="1:11" ht="24" customHeight="1">
      <c r="A63" s="49"/>
      <c r="B63" s="11"/>
      <c r="C63" s="44"/>
      <c r="D63" s="45"/>
      <c r="E63" s="46"/>
      <c r="F63" s="46"/>
      <c r="G63" s="46"/>
      <c r="H63" s="46"/>
      <c r="I63" s="46"/>
      <c r="J63" s="46"/>
      <c r="K63" s="47"/>
    </row>
    <row r="64" spans="1:11" ht="24" customHeight="1">
      <c r="A64" s="41"/>
      <c r="B64" s="15"/>
      <c r="C64" s="43"/>
      <c r="D64" s="45"/>
      <c r="E64" s="47"/>
      <c r="F64" s="45"/>
      <c r="G64" s="47"/>
      <c r="H64" s="48"/>
      <c r="I64" s="47"/>
      <c r="J64" s="45"/>
      <c r="K64" s="47"/>
    </row>
    <row r="65" spans="1:11" ht="24" customHeight="1">
      <c r="A65" s="42"/>
      <c r="B65" s="18"/>
      <c r="C65" s="16"/>
      <c r="D65" s="12"/>
      <c r="E65" s="12"/>
      <c r="F65" s="12"/>
      <c r="G65" s="12"/>
      <c r="H65" s="12"/>
      <c r="I65" s="12"/>
      <c r="J65" s="12"/>
      <c r="K65" s="12"/>
    </row>
    <row r="66" spans="1:11" ht="24" customHeight="1">
      <c r="A66" s="42"/>
      <c r="B66" s="18"/>
      <c r="C66" s="16"/>
      <c r="D66" s="12"/>
      <c r="E66" s="12"/>
      <c r="F66" s="12"/>
      <c r="G66" s="12"/>
      <c r="H66" s="12"/>
      <c r="I66" s="12"/>
      <c r="J66" s="12"/>
      <c r="K66" s="12"/>
    </row>
    <row r="67" spans="1:11" ht="24" customHeight="1">
      <c r="A67" s="42"/>
      <c r="B67" s="18"/>
      <c r="C67" s="16"/>
      <c r="D67" s="12"/>
      <c r="E67" s="12"/>
      <c r="F67" s="12"/>
      <c r="G67" s="12"/>
      <c r="H67" s="12"/>
      <c r="I67" s="12"/>
      <c r="J67" s="12"/>
      <c r="K67" s="12"/>
    </row>
    <row r="68" spans="1:11" ht="24" customHeight="1">
      <c r="A68" s="42"/>
      <c r="B68" s="18"/>
      <c r="C68" s="16"/>
      <c r="D68" s="12"/>
      <c r="E68" s="12"/>
      <c r="F68" s="12"/>
      <c r="G68" s="12"/>
      <c r="H68" s="12"/>
      <c r="I68" s="12"/>
      <c r="J68" s="12"/>
      <c r="K68" s="12"/>
    </row>
    <row r="69" spans="1:11" ht="24" customHeight="1">
      <c r="A69" s="42"/>
      <c r="B69" s="18"/>
      <c r="C69" s="16"/>
      <c r="D69" s="12"/>
      <c r="E69" s="12"/>
      <c r="F69" s="12"/>
      <c r="G69" s="12"/>
      <c r="H69" s="12"/>
      <c r="I69" s="12"/>
      <c r="J69" s="12"/>
      <c r="K69" s="12"/>
    </row>
    <row r="70" spans="1:11" ht="24" customHeight="1">
      <c r="A70" s="42"/>
      <c r="B70" s="18"/>
      <c r="C70" s="16"/>
      <c r="D70" s="12"/>
      <c r="E70" s="12"/>
      <c r="F70" s="12"/>
      <c r="G70" s="12"/>
      <c r="H70" s="12"/>
      <c r="I70" s="12"/>
      <c r="J70" s="12"/>
      <c r="K70" s="12"/>
    </row>
    <row r="71" spans="1:11" ht="24" customHeight="1">
      <c r="A71" s="42"/>
      <c r="B71" s="18"/>
      <c r="C71" s="16"/>
      <c r="D71" s="12"/>
      <c r="E71" s="12"/>
      <c r="F71" s="12"/>
      <c r="G71" s="12"/>
      <c r="H71" s="12"/>
      <c r="I71" s="12"/>
      <c r="J71" s="12"/>
      <c r="K71" s="12"/>
    </row>
    <row r="72" spans="1:11" ht="24" customHeight="1">
      <c r="A72" s="41"/>
      <c r="B72" s="17"/>
      <c r="C72" s="21"/>
      <c r="D72" s="13"/>
      <c r="E72" s="13"/>
      <c r="F72" s="13"/>
      <c r="G72" s="13"/>
      <c r="H72" s="13"/>
      <c r="I72" s="13"/>
      <c r="J72" s="13"/>
      <c r="K72" s="13"/>
    </row>
    <row r="73" spans="1:11" ht="24" customHeight="1">
      <c r="A73" s="43"/>
      <c r="B73" s="20"/>
      <c r="C73" s="14"/>
    </row>
    <row r="74" spans="1:11" ht="15.75" customHeight="1"/>
    <row r="75" spans="1:11" ht="15.75" customHeight="1"/>
    <row r="76" spans="1:11" ht="24" customHeight="1">
      <c r="A76" s="49"/>
      <c r="B76" s="11"/>
      <c r="C76" s="44"/>
      <c r="D76" s="45"/>
      <c r="E76" s="46"/>
      <c r="F76" s="46"/>
      <c r="G76" s="46"/>
      <c r="H76" s="46"/>
      <c r="I76" s="46"/>
      <c r="J76" s="46"/>
      <c r="K76" s="47"/>
    </row>
    <row r="77" spans="1:11" ht="24" customHeight="1">
      <c r="A77" s="41"/>
      <c r="B77" s="15"/>
      <c r="C77" s="43"/>
      <c r="D77" s="45"/>
      <c r="E77" s="47"/>
      <c r="F77" s="45"/>
      <c r="G77" s="47"/>
      <c r="H77" s="48"/>
      <c r="I77" s="47"/>
      <c r="J77" s="45"/>
      <c r="K77" s="47"/>
    </row>
    <row r="78" spans="1:11" ht="24" customHeight="1">
      <c r="A78" s="42"/>
      <c r="B78" s="18"/>
      <c r="C78" s="16"/>
      <c r="D78" s="12"/>
      <c r="E78" s="12"/>
      <c r="F78" s="12"/>
      <c r="G78" s="12"/>
      <c r="H78" s="12"/>
      <c r="I78" s="12"/>
      <c r="J78" s="12"/>
      <c r="K78" s="12"/>
    </row>
    <row r="79" spans="1:11" ht="24" customHeight="1">
      <c r="A79" s="42"/>
      <c r="B79" s="18"/>
      <c r="C79" s="16"/>
      <c r="D79" s="12"/>
      <c r="E79" s="12"/>
      <c r="F79" s="12"/>
      <c r="G79" s="12"/>
      <c r="H79" s="12"/>
      <c r="I79" s="12"/>
      <c r="J79" s="12"/>
      <c r="K79" s="12"/>
    </row>
    <row r="80" spans="1:11" ht="24" customHeight="1">
      <c r="A80" s="42"/>
      <c r="B80" s="18"/>
      <c r="C80" s="16"/>
      <c r="D80" s="12"/>
      <c r="E80" s="12"/>
      <c r="F80" s="12"/>
      <c r="G80" s="12"/>
      <c r="H80" s="12"/>
      <c r="I80" s="12"/>
      <c r="J80" s="12"/>
      <c r="K80" s="12"/>
    </row>
    <row r="81" spans="1:11" ht="24" customHeight="1">
      <c r="A81" s="42"/>
      <c r="B81" s="18"/>
      <c r="C81" s="16"/>
      <c r="D81" s="12"/>
      <c r="E81" s="12"/>
      <c r="F81" s="12"/>
      <c r="G81" s="12"/>
      <c r="H81" s="12"/>
      <c r="I81" s="12"/>
      <c r="J81" s="12"/>
      <c r="K81" s="12"/>
    </row>
    <row r="82" spans="1:11" ht="24" customHeight="1">
      <c r="A82" s="42"/>
      <c r="B82" s="18"/>
      <c r="C82" s="16"/>
      <c r="D82" s="12"/>
      <c r="E82" s="12"/>
      <c r="F82" s="12"/>
      <c r="G82" s="12"/>
      <c r="H82" s="12"/>
      <c r="I82" s="12"/>
      <c r="J82" s="12"/>
      <c r="K82" s="12"/>
    </row>
    <row r="83" spans="1:11" ht="24" customHeight="1">
      <c r="A83" s="42"/>
      <c r="B83" s="18"/>
      <c r="C83" s="16"/>
      <c r="D83" s="12"/>
      <c r="E83" s="12"/>
      <c r="F83" s="12"/>
      <c r="G83" s="12"/>
      <c r="H83" s="12"/>
      <c r="I83" s="12"/>
      <c r="J83" s="12"/>
      <c r="K83" s="12"/>
    </row>
    <row r="84" spans="1:11" ht="24" customHeight="1">
      <c r="A84" s="42"/>
      <c r="B84" s="18"/>
      <c r="C84" s="16"/>
      <c r="D84" s="12"/>
      <c r="E84" s="12"/>
      <c r="F84" s="12"/>
      <c r="G84" s="12"/>
      <c r="H84" s="12"/>
      <c r="I84" s="12"/>
      <c r="J84" s="12"/>
      <c r="K84" s="12"/>
    </row>
    <row r="85" spans="1:11" ht="24" customHeight="1">
      <c r="A85" s="41"/>
      <c r="B85" s="17"/>
      <c r="C85" s="21"/>
      <c r="D85" s="13"/>
      <c r="E85" s="13"/>
      <c r="F85" s="13"/>
      <c r="G85" s="13"/>
      <c r="H85" s="13"/>
      <c r="I85" s="13"/>
      <c r="J85" s="13"/>
      <c r="K85" s="13"/>
    </row>
    <row r="86" spans="1:11" ht="24" customHeight="1">
      <c r="A86" s="43"/>
      <c r="B86" s="20"/>
      <c r="C86" s="14"/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50" t="s">
        <v>22</v>
      </c>
      <c r="B1" s="52" t="s">
        <v>23</v>
      </c>
      <c r="C1" s="53"/>
      <c r="D1" s="53"/>
      <c r="E1" s="54"/>
      <c r="F1" s="50" t="s">
        <v>24</v>
      </c>
    </row>
    <row r="2" spans="1:6">
      <c r="A2" s="51"/>
      <c r="B2" s="55" t="s">
        <v>25</v>
      </c>
      <c r="C2" s="55" t="s">
        <v>26</v>
      </c>
      <c r="D2" s="24" t="s">
        <v>27</v>
      </c>
      <c r="E2" s="25" t="s">
        <v>18</v>
      </c>
      <c r="F2" s="51"/>
    </row>
    <row r="3" spans="1:6">
      <c r="A3" s="51"/>
      <c r="B3" s="56"/>
      <c r="C3" s="56"/>
      <c r="D3" s="26">
        <v>0.3</v>
      </c>
      <c r="E3" s="26">
        <v>0</v>
      </c>
      <c r="F3" s="51"/>
    </row>
    <row r="4" spans="1:6" ht="102">
      <c r="A4" s="22" t="s">
        <v>28</v>
      </c>
      <c r="B4" s="22" t="s">
        <v>29</v>
      </c>
      <c r="C4" s="22" t="s">
        <v>30</v>
      </c>
      <c r="D4" s="22" t="s">
        <v>31</v>
      </c>
      <c r="E4" s="22" t="s">
        <v>32</v>
      </c>
      <c r="F4" s="27">
        <v>15</v>
      </c>
    </row>
    <row r="5" spans="1:6" ht="136.9" customHeight="1">
      <c r="A5" s="22" t="s">
        <v>33</v>
      </c>
      <c r="B5" s="22" t="s">
        <v>34</v>
      </c>
      <c r="C5" s="22" t="s">
        <v>35</v>
      </c>
      <c r="D5" s="22" t="s">
        <v>36</v>
      </c>
      <c r="E5" s="22" t="s">
        <v>37</v>
      </c>
      <c r="F5" s="27">
        <v>25</v>
      </c>
    </row>
    <row r="6" spans="1:6" ht="87" customHeight="1">
      <c r="A6" s="22" t="s">
        <v>38</v>
      </c>
      <c r="B6" s="22" t="s">
        <v>39</v>
      </c>
      <c r="C6" s="22" t="s">
        <v>40</v>
      </c>
      <c r="D6" s="22" t="s">
        <v>41</v>
      </c>
      <c r="E6" s="22" t="s">
        <v>42</v>
      </c>
      <c r="F6" s="27">
        <v>20</v>
      </c>
    </row>
    <row r="7" spans="1:6" ht="89.25">
      <c r="A7" s="22" t="s">
        <v>43</v>
      </c>
      <c r="B7" s="22" t="s">
        <v>44</v>
      </c>
      <c r="C7" s="22" t="s">
        <v>45</v>
      </c>
      <c r="D7" s="22" t="s">
        <v>46</v>
      </c>
      <c r="E7" s="22" t="s">
        <v>47</v>
      </c>
      <c r="F7" s="27">
        <v>5</v>
      </c>
    </row>
    <row r="8" spans="1:6" ht="89.25">
      <c r="A8" s="22" t="s">
        <v>48</v>
      </c>
      <c r="B8" s="22" t="s">
        <v>49</v>
      </c>
      <c r="C8" s="22" t="s">
        <v>50</v>
      </c>
      <c r="D8" s="22" t="s">
        <v>51</v>
      </c>
      <c r="E8" s="22" t="s">
        <v>52</v>
      </c>
      <c r="F8" s="27">
        <v>5</v>
      </c>
    </row>
    <row r="9" spans="1:6" ht="89.25">
      <c r="A9" s="22" t="s">
        <v>53</v>
      </c>
      <c r="B9" s="22" t="s">
        <v>54</v>
      </c>
      <c r="C9" s="22" t="s">
        <v>55</v>
      </c>
      <c r="D9" s="22" t="s">
        <v>56</v>
      </c>
      <c r="E9" s="22" t="s">
        <v>57</v>
      </c>
      <c r="F9" s="23">
        <v>20</v>
      </c>
    </row>
    <row r="10" spans="1:6" ht="126" customHeight="1">
      <c r="A10" s="22" t="s">
        <v>58</v>
      </c>
      <c r="B10" s="22" t="s">
        <v>59</v>
      </c>
      <c r="C10" s="22" t="s">
        <v>60</v>
      </c>
      <c r="D10" s="22" t="s">
        <v>61</v>
      </c>
      <c r="E10" s="22" t="s">
        <v>62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19</v>
      </c>
      <c r="B1" t="s">
        <v>20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63</v>
      </c>
      <c r="B1" t="s">
        <v>64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19</v>
      </c>
      <c r="B1" t="s">
        <v>20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7" t="s">
        <v>65</v>
      </c>
      <c r="B1" s="4" t="s">
        <v>19</v>
      </c>
      <c r="C1" s="5"/>
      <c r="D1" s="5"/>
      <c r="E1" s="6"/>
    </row>
    <row r="2" spans="1:5" ht="45.75" thickBot="1">
      <c r="A2" s="58"/>
      <c r="B2" s="7" t="s">
        <v>15</v>
      </c>
      <c r="C2" s="8" t="s">
        <v>16</v>
      </c>
      <c r="D2" s="19" t="s">
        <v>66</v>
      </c>
      <c r="E2" s="37" t="s">
        <v>18</v>
      </c>
    </row>
    <row r="3" spans="1:5" ht="30.75" thickBot="1">
      <c r="A3" s="9" t="s">
        <v>67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Constanzaisabel Ortuzar Sierralta</cp:lastModifiedBy>
  <cp:revision/>
  <dcterms:created xsi:type="dcterms:W3CDTF">2023-08-07T04:08:01Z</dcterms:created>
  <dcterms:modified xsi:type="dcterms:W3CDTF">2025-12-15T11:37:14Z</dcterms:modified>
  <cp:category/>
  <cp:contentStatus/>
</cp:coreProperties>
</file>