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Marcela\2025\2025-2\Capstone\FASE 2\"/>
    </mc:Choice>
  </mc:AlternateContent>
  <xr:revisionPtr revIDLastSave="0" documentId="8_{495FC85C-7E84-4927-97A5-0E8CF1F2488C}"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<sst xmlns="http://schemas.openxmlformats.org/spreadsheetml/2006/main" count="93" uniqueCount="75">
  <si>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</si>
  <si>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</si>
  <si>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</si>
  <si>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</si>
  <si>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</si>
  <si>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</si>
  <si>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</si>
  <si>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</si>
  <si>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</si>
  <si>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</si>
  <si>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</si>
  <si>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</si>
  <si>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</si>
  <si>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</si>
  <si>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</si>
  <si>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</si>
  <si>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</si>
  <si>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</si>
  <si>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</si>
  <si>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</si>
  <si>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</si>
  <si>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</si>
  <si>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</si>
  <si>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</si>
  <si>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</si>
  <si>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</si>
  <si>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</si>
  <si>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</si>
  <si>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</si>
  <si>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</si>
  <si>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</si>
  <si>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</si>
  <si>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</si>
  <si>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</si>
  <si>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</si>
  <si>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</si>
  <si>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</si>
  <si>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</si>
  <si>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</si>
  <si>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</si>
  <si>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</si>
  <si>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</si>
  <si>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</si>
  <si>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</si>
  <si>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</si>
  <si>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</si>
  <si>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</si>
  <si>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</si>
  <si>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</si>
  <si>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</si>
  <si>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</si>
  <si>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</si>
  <si>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</si>
  <si>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</si>
  <si>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</si>
  <si>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</si>
  <si>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</si>
  <si>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</si>
  <si>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</si>
  <si>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</si>
  <si>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</si>
  <si>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</si>
  <si>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</si>
  <si>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ME GUSTÓ LA PRESENTACIÓN DEL PROYECTO QUE REALIZÓ EDISON</t>
  </si>
  <si>
    <t>BIEN EL PROCESO DE INICIAR, CREAR CUENTA, ETC</t>
  </si>
  <si>
    <t>CUANTOS USUARIOS PUEDO TENER EN UN PROYECTO</t>
  </si>
  <si>
    <t>LOS NOMBRES DE LAS TAREAS SE PUEDEN CAMBIAR</t>
  </si>
  <si>
    <t>ASIGNACIÓN</t>
  </si>
  <si>
    <t>AGREGAR IMÁGENES</t>
  </si>
  <si>
    <t>GONZALEZ DIAZ ALEXIS MARTIN</t>
  </si>
  <si>
    <t>CHICAHUAL GALVEZ RENATO JAVIER</t>
  </si>
  <si>
    <t>PARDO MILLANIR EDISON ADAMS</t>
  </si>
  <si>
    <t>ACEVEDO SILVA DIEGO LEANDRO</t>
  </si>
  <si>
    <t>FALTA EVIDENCIA DEL PROYECTO</t>
  </si>
  <si>
    <t xml:space="preserve">FALTA AVANZAR EN EL DESARROLLO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</si>
</sst>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7" borderId="28" xfId="0" applyFont="1" applyFill="1" applyBorder="1"/>
    <xf numFmtId="0" fontId="14" fillId="7" borderId="1" xfId="0" applyFont="1" applyFill="1" applyBorder="1"/>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5"/>
  <sheetViews>
    <sheetView tabSelected="1" zoomScaleNormal="100" workbookViewId="0">
      <selection activeCell="B18" sqref="B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1" spans="1:11" ht="15" customHeight="1" x14ac:dyDescent="0.3">
      <c r="E1" t="s">
        <v>73</v>
      </c>
    </row>
    <row r="2" spans="1:11" ht="14.4" x14ac:dyDescent="0.3">
      <c r="C2" s="2">
        <v>1</v>
      </c>
      <c r="E2" t="s">
        <v>63</v>
      </c>
    </row>
    <row r="3" spans="1:11" ht="14.4" x14ac:dyDescent="0.3">
      <c r="B3" s="3" t="s">
        <v>2</v>
      </c>
      <c r="C3" s="32" t="s">
        <v>9</v>
      </c>
      <c r="E3" t="s">
        <v>64</v>
      </c>
    </row>
    <row r="4" spans="1:11" ht="14.4" x14ac:dyDescent="0.3">
      <c r="A4" s="4">
        <v>1</v>
      </c>
      <c r="B4" s="39" t="s">
        <v>69</v>
      </c>
      <c r="C4" s="5">
        <f>EVALUACION2!$C$22</f>
        <v>6</v>
      </c>
      <c r="D4">
        <v>65</v>
      </c>
      <c r="E4" t="s">
        <v>65</v>
      </c>
      <c r="G4" s="1"/>
    </row>
    <row r="5" spans="1:11" ht="14.4" x14ac:dyDescent="0.3">
      <c r="A5" s="4">
        <v>2</v>
      </c>
      <c r="B5" s="39" t="s">
        <v>70</v>
      </c>
      <c r="C5" s="5">
        <f>EVALUACION2!$C$22</f>
        <v>6</v>
      </c>
      <c r="E5" t="s">
        <v>66</v>
      </c>
      <c r="G5" s="1"/>
    </row>
    <row r="6" spans="1:11" ht="14.4" x14ac:dyDescent="0.3">
      <c r="A6" s="4">
        <v>3</v>
      </c>
      <c r="B6" s="39" t="s">
        <v>71</v>
      </c>
      <c r="C6" s="5">
        <f>EVALUACION2!$C$22</f>
        <v>6</v>
      </c>
      <c r="E6" t="s">
        <v>67</v>
      </c>
      <c r="G6" s="1"/>
    </row>
    <row r="7" spans="1:11" ht="15" customHeight="1" x14ac:dyDescent="0.3">
      <c r="B7" s="40" t="s">
        <v>72</v>
      </c>
      <c r="C7" s="5">
        <f>EVALUACION2!$C$22</f>
        <v>6</v>
      </c>
      <c r="E7" t="s">
        <v>68</v>
      </c>
    </row>
    <row r="8" spans="1:11" ht="15" customHeight="1" x14ac:dyDescent="0.3">
      <c r="E8" t="s">
        <v>74</v>
      </c>
    </row>
    <row r="11" spans="1:11" ht="18" outlineLevel="1" x14ac:dyDescent="0.3">
      <c r="A11" s="41" t="s">
        <v>9</v>
      </c>
      <c r="B11" s="14"/>
      <c r="C11" s="45" t="s">
        <v>10</v>
      </c>
      <c r="D11" s="46" t="s">
        <v>11</v>
      </c>
      <c r="E11" s="48"/>
      <c r="F11" s="48"/>
      <c r="G11" s="48"/>
      <c r="H11" s="48"/>
      <c r="I11" s="48"/>
      <c r="J11" s="48"/>
      <c r="K11" s="47"/>
    </row>
    <row r="12" spans="1:11" ht="14.4" outlineLevel="1" x14ac:dyDescent="0.3">
      <c r="A12" s="42"/>
      <c r="B12" s="20" t="s">
        <v>12</v>
      </c>
      <c r="C12" s="44"/>
      <c r="D12" s="46" t="s">
        <v>5</v>
      </c>
      <c r="E12" s="47"/>
      <c r="F12" s="46" t="s">
        <v>6</v>
      </c>
      <c r="G12" s="47"/>
      <c r="H12" s="49" t="s">
        <v>23</v>
      </c>
      <c r="I12" s="47"/>
      <c r="J12" s="46" t="s">
        <v>7</v>
      </c>
      <c r="K12" s="47"/>
    </row>
    <row r="13" spans="1:11" ht="24" outlineLevel="1" x14ac:dyDescent="0.3">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3"/>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3"/>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3"/>
      <c r="B18" s="27" t="str">
        <f>RUBRICA!A9</f>
        <v>6. Entrega la documentación y evidencias requerida por la asignatura de acuerdo a la estrucutra y nombres solicitados, guardando todas las evidencias de avances en Git</v>
      </c>
      <c r="C18" s="25" t="s">
        <v>6</v>
      </c>
      <c r="D18" s="15" t="str">
        <f>IF($C18=CL,"X","")</f>
        <v/>
      </c>
      <c r="E18" s="15" t="str">
        <f>IF(D18="X",100*0.2,"")</f>
        <v/>
      </c>
      <c r="F18" s="15" t="str">
        <f>IF($C18=L,"X","")</f>
        <v>X</v>
      </c>
      <c r="G18" s="15">
        <f>IF(F18="X",60*0.2,"")</f>
        <v>12</v>
      </c>
      <c r="H18" s="15" t="str">
        <f>IF($C18=ML,"X","")</f>
        <v/>
      </c>
      <c r="I18" s="15" t="str">
        <f>IF(H18="X",30*0.2,"")</f>
        <v/>
      </c>
      <c r="J18" s="15" t="str">
        <f>IF($C18=NL,"X","")</f>
        <v/>
      </c>
      <c r="K18" s="15" t="str">
        <f t="shared" ref="K18:K20" si="5">IF($J18="X",0,"")</f>
        <v/>
      </c>
    </row>
    <row r="19" spans="1:11" ht="36" outlineLevel="1" x14ac:dyDescent="0.3">
      <c r="A19" s="43"/>
      <c r="B19" s="27" t="str">
        <f>RUBRICA!A10</f>
        <v>7.- Generan evidencias claras dentro del repositorio  del aporte de cada uno de los integrantes del equipo que permitan identificar la equidad en el trabajo y la participación de cada estudiante.</v>
      </c>
      <c r="C19" s="25"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3">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2"/>
      <c r="B21" s="26" t="s">
        <v>4</v>
      </c>
      <c r="C21" s="30">
        <f>E21+G21+I21+K21</f>
        <v>86</v>
      </c>
      <c r="D21" s="16"/>
      <c r="E21" s="16">
        <f>SUM(E13:E20)</f>
        <v>65</v>
      </c>
      <c r="F21" s="16"/>
      <c r="G21" s="16">
        <f>SUM(G13:G20)</f>
        <v>21</v>
      </c>
      <c r="H21" s="16"/>
      <c r="I21" s="16">
        <f>SUM(I13:I20)</f>
        <v>0</v>
      </c>
      <c r="J21" s="16"/>
      <c r="K21" s="16">
        <f>SUM(K13:K20)</f>
        <v>0</v>
      </c>
    </row>
    <row r="22" spans="1:11" ht="15.75" customHeight="1" outlineLevel="1" x14ac:dyDescent="0.35">
      <c r="A22" s="44"/>
      <c r="B22" s="29" t="s">
        <v>13</v>
      </c>
      <c r="C22" s="17">
        <f>VLOOKUP(C21,ESCALA_IEP!A2:B202,2,FALSE)</f>
        <v>6</v>
      </c>
    </row>
    <row r="23" spans="1:11" ht="15.75" customHeight="1" x14ac:dyDescent="0.3">
      <c r="D23" t="s">
        <v>41</v>
      </c>
    </row>
    <row r="24" spans="1:11" ht="48" customHeight="1" x14ac:dyDescent="0.3">
      <c r="B24" s="33"/>
    </row>
    <row r="25" spans="1:11" ht="15.75" customHeight="1" x14ac:dyDescent="0.35">
      <c r="B25" s="18"/>
      <c r="C25" s="19"/>
    </row>
    <row r="26" spans="1:11" ht="31.2" customHeight="1" x14ac:dyDescent="0.3">
      <c r="B26" s="34"/>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0" t="s">
        <v>14</v>
      </c>
      <c r="B1" s="52" t="s">
        <v>15</v>
      </c>
      <c r="C1" s="53"/>
      <c r="D1" s="53"/>
      <c r="E1" s="54"/>
      <c r="F1" s="50" t="s">
        <v>16</v>
      </c>
    </row>
    <row r="2" spans="1:6" x14ac:dyDescent="0.3">
      <c r="A2" s="51"/>
      <c r="B2" s="56" t="s">
        <v>25</v>
      </c>
      <c r="C2" s="56" t="s">
        <v>17</v>
      </c>
      <c r="D2" s="21" t="s">
        <v>18</v>
      </c>
      <c r="E2" s="22" t="s">
        <v>7</v>
      </c>
      <c r="F2" s="51"/>
    </row>
    <row r="3" spans="1:6" ht="15" thickBot="1" x14ac:dyDescent="0.35">
      <c r="A3" s="51"/>
      <c r="B3" s="57"/>
      <c r="C3" s="57"/>
      <c r="D3" s="36">
        <v>-0.3</v>
      </c>
      <c r="E3" s="36">
        <v>0</v>
      </c>
      <c r="F3" s="55"/>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7">
        <v>5</v>
      </c>
    </row>
    <row r="9" spans="1:6" ht="55.8" thickBot="1" x14ac:dyDescent="0.35">
      <c r="A9" s="24" t="s">
        <v>53</v>
      </c>
      <c r="B9" s="24" t="s">
        <v>54</v>
      </c>
      <c r="C9" s="24" t="s">
        <v>55</v>
      </c>
      <c r="D9" s="24" t="s">
        <v>56</v>
      </c>
      <c r="E9" s="24" t="s">
        <v>57</v>
      </c>
      <c r="F9" s="23">
        <v>20</v>
      </c>
    </row>
    <row r="10" spans="1:6" ht="69.599999999999994" thickBot="1" x14ac:dyDescent="0.35">
      <c r="A10" s="38" t="s">
        <v>58</v>
      </c>
      <c r="B10" s="38" t="s">
        <v>59</v>
      </c>
      <c r="C10" s="38" t="s">
        <v>60</v>
      </c>
      <c r="D10" s="38" t="s">
        <v>61</v>
      </c>
      <c r="E10" s="38" t="s">
        <v>62</v>
      </c>
      <c r="F10" s="31">
        <v>15</v>
      </c>
    </row>
    <row r="11" spans="1:6" ht="81.599999999999994" customHeight="1" x14ac:dyDescent="0.3">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8" t="s">
        <v>3</v>
      </c>
      <c r="B1" s="6" t="s">
        <v>4</v>
      </c>
      <c r="C1" s="7"/>
      <c r="D1" s="7"/>
      <c r="E1" s="8"/>
    </row>
    <row r="2" spans="1:5" ht="43.8" thickBot="1" x14ac:dyDescent="0.35">
      <c r="A2" s="59"/>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Claudio Alberto Perez Vergara</cp:lastModifiedBy>
  <dcterms:created xsi:type="dcterms:W3CDTF">2023-08-07T04:08:01Z</dcterms:created>
  <dcterms:modified xsi:type="dcterms:W3CDTF">2025-10-22T13:16:39Z</dcterms:modified>
</cp:coreProperties>
</file>