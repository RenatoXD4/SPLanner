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arcela\2025\2025-2\Capstone\Retroalimentación Fase 1\"/>
    </mc:Choice>
  </mc:AlternateContent>
  <xr:revisionPtr revIDLastSave="0" documentId="13_ncr:1_{4046B363-215B-4FF2-96A4-F3D65A1035E8}"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C61" i="1"/>
  <c r="D68" i="1"/>
  <c r="J67" i="1"/>
  <c r="K67" i="1" s="1"/>
  <c r="H67" i="1"/>
  <c r="I67" i="1" s="1"/>
  <c r="F67" i="1"/>
  <c r="G67" i="1" s="1"/>
  <c r="D67" i="1"/>
  <c r="E67" i="1" s="1"/>
  <c r="B67" i="1"/>
  <c r="J66" i="1"/>
  <c r="K66" i="1" s="1"/>
  <c r="H66" i="1"/>
  <c r="I66" i="1" s="1"/>
  <c r="F66" i="1"/>
  <c r="G66" i="1" s="1"/>
  <c r="E66" i="1"/>
  <c r="D66" i="1"/>
  <c r="B66" i="1"/>
  <c r="J65" i="1"/>
  <c r="J68" i="1" s="1"/>
  <c r="H65" i="1"/>
  <c r="H68" i="1" s="1"/>
  <c r="F65" i="1"/>
  <c r="G65" i="1" s="1"/>
  <c r="D65" i="1"/>
  <c r="E65" i="1" s="1"/>
  <c r="B65"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68" i="1" l="1"/>
  <c r="G68" i="1"/>
  <c r="I65" i="1"/>
  <c r="I68" i="1" s="1"/>
  <c r="F68" i="1"/>
  <c r="K65" i="1"/>
  <c r="K68" i="1" s="1"/>
  <c r="E57" i="1"/>
  <c r="F57" i="1"/>
  <c r="H57" i="1"/>
  <c r="J57" i="1"/>
  <c r="E34" i="1"/>
  <c r="I34" i="1"/>
  <c r="K34" i="1"/>
  <c r="G34" i="1"/>
  <c r="G57" i="1"/>
  <c r="I57" i="1"/>
  <c r="K57" i="1"/>
  <c r="E46" i="1"/>
  <c r="G46" i="1"/>
  <c r="I46" i="1"/>
  <c r="K46" i="1"/>
  <c r="D13" i="1"/>
  <c r="E13" i="1" s="1"/>
  <c r="D14" i="1"/>
  <c r="E14" i="1" s="1"/>
  <c r="E15" i="1"/>
  <c r="D16" i="1"/>
  <c r="E16" i="1" s="1"/>
  <c r="D18" i="1"/>
  <c r="E18" i="1" s="1"/>
  <c r="D22" i="1"/>
  <c r="E22" i="1" s="1"/>
  <c r="F20" i="1"/>
  <c r="G20" i="1" s="1"/>
  <c r="F21" i="1"/>
  <c r="G21" i="1" s="1"/>
  <c r="C68" i="1" l="1"/>
  <c r="C69" i="1" s="1"/>
  <c r="C57" i="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G15" i="1"/>
  <c r="J13" i="1"/>
  <c r="K13" i="1" s="1"/>
  <c r="H13" i="1"/>
  <c r="I13" i="1" s="1"/>
  <c r="F13" i="1"/>
  <c r="G13" i="1" s="1"/>
  <c r="E23" i="1" l="1"/>
  <c r="G23" i="1"/>
  <c r="I23" i="1"/>
  <c r="C34" i="1" l="1"/>
  <c r="K23" i="1"/>
  <c r="C23" i="1" s="1"/>
  <c r="C24" i="1" s="1"/>
  <c r="C7" i="1" s="1"/>
  <c r="E7" i="1" s="1"/>
  <c r="C35" i="1" l="1"/>
  <c r="D4" i="1" s="1"/>
  <c r="C6" i="1"/>
  <c r="E6" i="1" s="1"/>
  <c r="C5" i="1"/>
  <c r="E5" i="1" s="1"/>
  <c r="C4" i="1"/>
  <c r="E4" i="1" l="1"/>
</calcChain>
</file>

<file path=xl/sharedStrings.xml><?xml version="1.0" encoding="utf-8"?>
<sst xmlns="http://schemas.openxmlformats.org/spreadsheetml/2006/main" count="181" uniqueCount="107">
  <si>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</si>
  <si>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</si>
  <si>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</si>
  <si>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</si>
  <si>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</si>
  <si>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</si>
  <si>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</si>
  <si>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</si>
  <si>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</si>
  <si>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</si>
  <si>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</si>
  <si>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</si>
  <si>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</si>
  <si>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</si>
  <si>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</si>
  <si>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</si>
  <si>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</si>
  <si>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</si>
  <si>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</si>
  <si>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</si>
  <si>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</si>
  <si>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</si>
  <si>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</si>
  <si>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</si>
  <si>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</si>
  <si>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</si>
  <si>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</si>
  <si>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</si>
  <si>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</si>
  <si>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</si>
  <si>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</si>
  <si>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</si>
  <si>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</si>
  <si>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</si>
  <si>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</si>
  <si>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</si>
  <si>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</si>
  <si>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</si>
  <si>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</si>
  <si>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</si>
  <si>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</si>
  <si>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</si>
  <si>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</si>
  <si>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</si>
  <si>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</si>
  <si>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</si>
  <si>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</si>
  <si>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</si>
  <si>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</si>
  <si>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</si>
  <si>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</si>
  <si>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</si>
  <si>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</si>
  <si>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</si>
  <si>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</si>
  <si>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</si>
  <si>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</si>
  <si>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</si>
  <si>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</si>
  <si>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</si>
  <si>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</si>
  <si>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</si>
  <si>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</si>
  <si>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</si>
  <si>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</si>
  <si>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</si>
  <si>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</si>
  <si>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</si>
  <si>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</si>
  <si>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</si>
  <si>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</si>
  <si>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</si>
  <si>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</si>
  <si>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</si>
  <si>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</si>
  <si>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</si>
  <si>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</si>
  <si>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</si>
  <si>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</si>
  <si>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</si>
  <si>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</si>
  <si>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</si>
  <si>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</si>
  <si>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</si>
  <si>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</si>
  <si>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</si>
  <si>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</si>
  <si>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</si>
  <si>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</si>
  <si>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</si>
  <si>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</si>
  <si>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</si>
  <si>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</si>
  <si>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</si>
  <si>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</si>
  <si>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BUENA PROPUESTA DE SOLUCIÓN</t>
  </si>
  <si>
    <t>POR QUÉ SPLANER</t>
  </si>
  <si>
    <t>CÓMO VAN A VENDER SU PROYECTO</t>
  </si>
  <si>
    <t>CÓMO MANEJARÍAN PENSANDO EN EL FUTURO UN ALTO NUMERO DE EMPRESAS QUE LO QUIERAN USAR</t>
  </si>
  <si>
    <t>COMO ESTÁ DISTRIBUIDO EL EQUIPO EN BASE A LA METODOLOGIA SCRUM</t>
  </si>
  <si>
    <t>ERO</t>
  </si>
  <si>
    <t>RESPONDER LOS RIESGOS NO SOLO LA COMPETENCIA</t>
  </si>
  <si>
    <t>x</t>
  </si>
  <si>
    <t>EDISON PARDO</t>
  </si>
  <si>
    <t>DIEGO ACEVEDO</t>
  </si>
  <si>
    <t>ALEXIS GONZALEZ</t>
  </si>
  <si>
    <t>RENATO CHICAHUAL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</si>
</sst>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5" width="11.6640625" customWidth="1"/>
    <col min="6" max="6" width="6.44140625" customWidth="1"/>
    <col min="7"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c r="G2" t="s">
        <v>95</v>
      </c>
    </row>
    <row r="3" spans="1:11" ht="14.4" x14ac:dyDescent="0.3">
      <c r="B3" s="3" t="s">
        <v>0</v>
      </c>
      <c r="C3" s="4" t="s">
        <v>1</v>
      </c>
      <c r="D3" s="2" t="s">
        <v>2</v>
      </c>
      <c r="E3" s="50"/>
      <c r="G3" t="s">
        <v>96</v>
      </c>
    </row>
    <row r="4" spans="1:11" ht="14.4" x14ac:dyDescent="0.3">
      <c r="A4" s="5">
        <v>1</v>
      </c>
      <c r="B4" s="32" t="s">
        <v>103</v>
      </c>
      <c r="C4" s="6">
        <f>EVALUACION1!$C$24</f>
        <v>6.8</v>
      </c>
      <c r="D4" s="6">
        <f>$C$35</f>
        <v>7</v>
      </c>
      <c r="E4" s="43">
        <f>C4*C$2+D4*D$2</f>
        <v>6.85</v>
      </c>
      <c r="G4" s="1" t="s">
        <v>97</v>
      </c>
    </row>
    <row r="5" spans="1:11" ht="14.4" x14ac:dyDescent="0.3">
      <c r="A5" s="5">
        <v>2</v>
      </c>
      <c r="B5" s="32" t="s">
        <v>104</v>
      </c>
      <c r="C5" s="6">
        <f>EVALUACION1!$C$24</f>
        <v>6.8</v>
      </c>
      <c r="D5" s="6">
        <f>C47</f>
        <v>7</v>
      </c>
      <c r="E5" s="43">
        <f t="shared" ref="E5:E6" si="0">C5*C$2+D5*D$2</f>
        <v>6.85</v>
      </c>
      <c r="G5" s="1" t="s">
        <v>98</v>
      </c>
    </row>
    <row r="6" spans="1:11" ht="14.4" x14ac:dyDescent="0.3">
      <c r="A6" s="5">
        <v>3</v>
      </c>
      <c r="B6" s="32" t="s">
        <v>105</v>
      </c>
      <c r="C6" s="6">
        <f>EVALUACION1!$C$24</f>
        <v>6.8</v>
      </c>
      <c r="D6" s="6">
        <f>C58</f>
        <v>7</v>
      </c>
      <c r="E6" s="43">
        <f t="shared" si="0"/>
        <v>6.85</v>
      </c>
      <c r="G6" s="1" t="s">
        <v>99</v>
      </c>
    </row>
    <row r="7" spans="1:11" ht="15" customHeight="1" x14ac:dyDescent="0.3">
      <c r="A7" s="5">
        <v>4</v>
      </c>
      <c r="B7" s="32" t="s">
        <v>106</v>
      </c>
      <c r="C7" s="6">
        <f>EVALUACION1!$C$24</f>
        <v>6.8</v>
      </c>
      <c r="D7" s="6">
        <f>+C69</f>
        <v>7</v>
      </c>
      <c r="E7" s="43">
        <f t="shared" ref="E7" si="1">C7*C$2+D7*D$2</f>
        <v>6.85</v>
      </c>
      <c r="G7" s="1" t="s">
        <v>100</v>
      </c>
    </row>
    <row r="8" spans="1:11" ht="15" customHeight="1" x14ac:dyDescent="0.3">
      <c r="G8" s="1" t="s">
        <v>101</v>
      </c>
    </row>
    <row r="9" spans="1:11" ht="15" customHeight="1" x14ac:dyDescent="0.3">
      <c r="G9"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26.4" customHeight="1" outlineLevel="1" x14ac:dyDescent="0.3">
      <c r="A14" s="65"/>
      <c r="B14" s="35" t="str">
        <f>RUBRICA!A6</f>
        <v>2. Relaciona el Proyecto APT con las competencias del perfil de egreso de su Plan de Estudio.</v>
      </c>
      <c r="C14" s="33" t="s">
        <v>7</v>
      </c>
      <c r="D14" s="16" t="str">
        <f t="shared" si="2"/>
        <v>X</v>
      </c>
      <c r="E14" s="16">
        <f t="shared" ref="E14" si="7">IF(D14="X",100*0.05,"")</f>
        <v>5</v>
      </c>
      <c r="F14" s="16" t="str">
        <f t="shared" si="3"/>
        <v/>
      </c>
      <c r="G14" s="16" t="str">
        <f t="shared" ref="G14" si="8">IF(F14="X",60*0.05,"")</f>
        <v/>
      </c>
      <c r="H14" s="16" t="str">
        <f t="shared" si="4"/>
        <v/>
      </c>
      <c r="I14" s="16" t="str">
        <f t="shared" ref="I14" si="9">IF(H14="X",30*0.05,"")</f>
        <v/>
      </c>
      <c r="J14" s="16" t="str">
        <f t="shared" si="5"/>
        <v/>
      </c>
      <c r="K14" s="16" t="str">
        <f t="shared" si="6"/>
        <v/>
      </c>
    </row>
    <row r="15" spans="1:11" ht="14.4" outlineLevel="1" x14ac:dyDescent="0.3">
      <c r="A15" s="65"/>
      <c r="B15" s="35" t="str">
        <f>RUBRICA!A8</f>
        <v xml:space="preserve">4.  Argumenta por qué el proyecto es factible de realizarse en el marco de la asignatura. </v>
      </c>
      <c r="C15" s="33" t="s">
        <v>8</v>
      </c>
      <c r="D15" s="16" t="s">
        <v>102</v>
      </c>
      <c r="E15" s="16">
        <f t="shared" ref="E15:E21" si="10">IF(D15="X",100*0.05,"")</f>
        <v>5</v>
      </c>
      <c r="F15" s="16"/>
      <c r="G15" s="16" t="str">
        <f t="shared" ref="G15:G21" si="11">IF(F15="X",60*0.05,"")</f>
        <v/>
      </c>
      <c r="H15" s="16" t="str">
        <f t="shared" si="4"/>
        <v/>
      </c>
      <c r="I15" s="16" t="str">
        <f t="shared" ref="I15:I21" si="12">IF(H15="X",30*0.05,"")</f>
        <v/>
      </c>
      <c r="J15" s="16" t="str">
        <f t="shared" si="5"/>
        <v/>
      </c>
      <c r="K15" s="16" t="str">
        <f t="shared" si="6"/>
        <v/>
      </c>
    </row>
    <row r="16" spans="1:11" ht="14.4" outlineLevel="1" x14ac:dyDescent="0.3">
      <c r="A16" s="65"/>
      <c r="B16" s="35" t="str">
        <f>RUBRICA!A9</f>
        <v xml:space="preserve">5. Formula objetivos claros, concisos y coherentes con la disciplina y la situación a abordar. </v>
      </c>
      <c r="C16" s="33" t="s">
        <v>7</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x14ac:dyDescent="0.3">
      <c r="A17" s="65"/>
      <c r="B17" s="35" t="str">
        <f>RUBRICA!A10</f>
        <v>6. Propone una metodología de trabajo que permite alcanzar los objetivos propuestos y es pertinente con los requerimientos disciplinares.</v>
      </c>
      <c r="C17" s="33" t="s">
        <v>7</v>
      </c>
      <c r="D17" s="16" t="str">
        <f t="shared" ref="D17:D22" si="13">IF($C17=CL,"X","")</f>
        <v>X</v>
      </c>
      <c r="E17" s="16">
        <f t="shared" ref="E17" si="14">IF(D17="X",100*0.1,"")</f>
        <v>10</v>
      </c>
      <c r="F17" s="16" t="str">
        <f t="shared" ref="F17:F22" si="15">IF($C17=L,"X","")</f>
        <v/>
      </c>
      <c r="G17" s="16" t="str">
        <f t="shared" ref="G17" si="16">IF(F17="X",60*0.1,"")</f>
        <v/>
      </c>
      <c r="H17" s="16" t="str">
        <f t="shared" ref="H17:H22" si="17">IF($C17=ML,"X","")</f>
        <v/>
      </c>
      <c r="I17" s="16" t="str">
        <f t="shared" ref="I17" si="18">IF(H17="X",30*0.1,"")</f>
        <v/>
      </c>
      <c r="J17" s="16" t="str">
        <f t="shared" ref="J17:J22" si="19">IF($C17=NL,"X","")</f>
        <v/>
      </c>
      <c r="K17" s="16" t="str">
        <f t="shared" ref="K17:K22" si="20">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tr">
        <f t="shared" si="13"/>
        <v>X</v>
      </c>
      <c r="E18" s="16">
        <f t="shared" ref="E18" si="21">IF(D18="X",100*0.1,"")</f>
        <v>10</v>
      </c>
      <c r="F18" s="16" t="str">
        <f t="shared" si="15"/>
        <v/>
      </c>
      <c r="G18" s="16" t="str">
        <f t="shared" ref="G18" si="22">IF(F18="X",60*0.1,"")</f>
        <v/>
      </c>
      <c r="H18" s="16" t="str">
        <f t="shared" si="17"/>
        <v/>
      </c>
      <c r="I18" s="16" t="str">
        <f t="shared" ref="I18" si="23">IF(H18="X",30*0.1,"")</f>
        <v/>
      </c>
      <c r="J18" s="16" t="str">
        <f t="shared" si="19"/>
        <v/>
      </c>
      <c r="K18" s="16" t="str">
        <f t="shared" si="20"/>
        <v/>
      </c>
    </row>
    <row r="19" spans="1:11" ht="24" outlineLevel="1" x14ac:dyDescent="0.3">
      <c r="A19" s="65"/>
      <c r="B19" s="35" t="str">
        <f>RUBRICA!A12</f>
        <v>8. Determina evidencias, justificando cómo estas dan cuenta del logro de las actividades del Proyecto APT.</v>
      </c>
      <c r="C19" s="33" t="s">
        <v>7</v>
      </c>
      <c r="D19" s="16" t="str">
        <f t="shared" si="13"/>
        <v>X</v>
      </c>
      <c r="E19" s="16">
        <f>IF(D19="X",100*0.05,"")</f>
        <v>5</v>
      </c>
      <c r="F19" s="16" t="str">
        <f t="shared" si="15"/>
        <v/>
      </c>
      <c r="G19" s="16" t="str">
        <f t="shared" ref="G19" si="24">IF(F19="X",60*0.05,"")</f>
        <v/>
      </c>
      <c r="H19" s="16" t="str">
        <f t="shared" si="17"/>
        <v/>
      </c>
      <c r="I19" s="16" t="str">
        <f t="shared" ref="I19" si="25">IF(H19="X",30*0.05,"")</f>
        <v/>
      </c>
      <c r="J19" s="16" t="str">
        <f t="shared" si="19"/>
        <v/>
      </c>
      <c r="K19" s="16" t="str">
        <f t="shared" si="20"/>
        <v/>
      </c>
    </row>
    <row r="20" spans="1:11" ht="24" outlineLevel="1" x14ac:dyDescent="0.3">
      <c r="A20" s="65"/>
      <c r="B20" s="35" t="str">
        <f>RUBRICA!A13</f>
        <v xml:space="preserve">9. Utiliza reglas de redacción, ortografía (literal, puntual, acentual) y las normas para citas y referencias. </v>
      </c>
      <c r="C20" s="33" t="s">
        <v>7</v>
      </c>
      <c r="D20" s="16" t="str">
        <f t="shared" si="13"/>
        <v>X</v>
      </c>
      <c r="E20" s="16">
        <f>IF(D20="X",100*0.05,"")</f>
        <v>5</v>
      </c>
      <c r="F20" s="16" t="str">
        <f t="shared" si="15"/>
        <v/>
      </c>
      <c r="G20" s="16" t="str">
        <f t="shared" si="11"/>
        <v/>
      </c>
      <c r="H20" s="16" t="str">
        <f t="shared" si="17"/>
        <v/>
      </c>
      <c r="I20" s="16" t="str">
        <f t="shared" si="12"/>
        <v/>
      </c>
      <c r="J20" s="16" t="str">
        <f t="shared" si="19"/>
        <v/>
      </c>
      <c r="K20" s="16" t="str">
        <f t="shared" si="20"/>
        <v/>
      </c>
    </row>
    <row r="21" spans="1:11" ht="22.95" customHeight="1" outlineLevel="1" x14ac:dyDescent="0.3">
      <c r="A21" s="65"/>
      <c r="B21" s="35" t="str">
        <f>RUBRICA!A14</f>
        <v>10. Cumple completando el contenido del informe de presentación del proyecto de acuerdo con la plantilla entregada.</v>
      </c>
      <c r="C21" s="33" t="s">
        <v>8</v>
      </c>
      <c r="D21" s="16" t="str">
        <f t="shared" si="13"/>
        <v/>
      </c>
      <c r="E21" s="16" t="str">
        <f t="shared" si="10"/>
        <v/>
      </c>
      <c r="F21" s="16" t="str">
        <f t="shared" si="15"/>
        <v>X</v>
      </c>
      <c r="G21" s="16">
        <f t="shared" si="11"/>
        <v>3</v>
      </c>
      <c r="H21" s="16" t="str">
        <f t="shared" si="17"/>
        <v/>
      </c>
      <c r="I21" s="16" t="str">
        <f t="shared" si="12"/>
        <v/>
      </c>
      <c r="J21" s="16" t="str">
        <f t="shared" si="19"/>
        <v/>
      </c>
      <c r="K21" s="16" t="str">
        <f t="shared" si="20"/>
        <v/>
      </c>
    </row>
    <row r="22" spans="1:11" ht="36" outlineLevel="1" x14ac:dyDescent="0.3">
      <c r="A22" s="65"/>
      <c r="B22" s="35" t="str">
        <f>RUBRICA!A16</f>
        <v>12. Desarrolla un plan de trabajo que permita del logro de los objetivos propuestos del proyecto de 
acuerdo a los tiempos para su desarrollo</v>
      </c>
      <c r="C22" s="33" t="s">
        <v>7</v>
      </c>
      <c r="D22" s="16" t="str">
        <f t="shared" si="13"/>
        <v>X</v>
      </c>
      <c r="E22" s="16">
        <f>IF(D22="X",100*0.1,"")</f>
        <v>10</v>
      </c>
      <c r="F22" s="16" t="str">
        <f t="shared" si="15"/>
        <v/>
      </c>
      <c r="G22" s="16" t="str">
        <f>IF(F22="X",60*0.1,"")</f>
        <v/>
      </c>
      <c r="H22" s="16" t="str">
        <f t="shared" si="17"/>
        <v/>
      </c>
      <c r="I22" s="16" t="str">
        <f>IF(H22="X",30*0.1,"")</f>
        <v/>
      </c>
      <c r="J22" s="16" t="str">
        <f t="shared" si="19"/>
        <v/>
      </c>
      <c r="K22" s="16" t="str">
        <f t="shared" si="20"/>
        <v/>
      </c>
    </row>
    <row r="23" spans="1:11" ht="15.75" customHeight="1" outlineLevel="1" x14ac:dyDescent="0.35">
      <c r="A23" s="61"/>
      <c r="B23" s="34" t="s">
        <v>11</v>
      </c>
      <c r="C23" s="37">
        <f>E23+G23+I23+K23</f>
        <v>68</v>
      </c>
      <c r="D23" s="19"/>
      <c r="E23" s="19">
        <f>SUM(E13:E22)</f>
        <v>65</v>
      </c>
      <c r="F23" s="19"/>
      <c r="G23" s="19">
        <f>SUM(G13:G22)</f>
        <v>3</v>
      </c>
      <c r="H23" s="19"/>
      <c r="I23" s="19">
        <f>SUM(I13:I22)</f>
        <v>0</v>
      </c>
      <c r="J23" s="19"/>
      <c r="K23" s="19">
        <f>SUM(K13:K22)</f>
        <v>0</v>
      </c>
    </row>
    <row r="24" spans="1:11" ht="15.75" customHeight="1" outlineLevel="1" x14ac:dyDescent="0.35">
      <c r="A24" s="50"/>
      <c r="B24" s="36" t="s">
        <v>12</v>
      </c>
      <c r="C24" s="20">
        <f>VLOOKUP(C23,ESCALA_IEP!A2:B142,2,FALSE)</f>
        <v>6.8</v>
      </c>
    </row>
    <row r="25" spans="1:11" ht="15.75" customHeight="1" x14ac:dyDescent="0.3"/>
    <row r="26" spans="1:11" ht="15.75" customHeight="1" x14ac:dyDescent="0.3"/>
    <row r="27" spans="1:11" ht="15.75" customHeight="1" x14ac:dyDescent="0.3">
      <c r="A27" s="60" t="s">
        <v>13</v>
      </c>
      <c r="B27" s="49" t="s">
        <v>14</v>
      </c>
      <c r="C27" s="52" t="str">
        <f>$B$4</f>
        <v>EDISON PARDO</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6">IF($C31=CL,"X","")</f>
        <v>X</v>
      </c>
      <c r="E31" s="16">
        <f>IF(D31="X",100*0.1,"")</f>
        <v>10</v>
      </c>
      <c r="F31" s="16" t="str">
        <f t="shared" ref="F31:F32" si="27">IF($C31=L,"X","")</f>
        <v/>
      </c>
      <c r="G31" s="16" t="str">
        <f>IF(F31="X",60*0.1,"")</f>
        <v/>
      </c>
      <c r="H31" s="16" t="str">
        <f t="shared" ref="H31:H32" si="28">IF($C31=ML,"X","")</f>
        <v/>
      </c>
      <c r="I31" s="16" t="str">
        <f>IF(H31="X",30*0.1,"")</f>
        <v/>
      </c>
      <c r="J31" s="16" t="str">
        <f t="shared" ref="J31:J32" si="29">IF($C31=NL,"X","")</f>
        <v/>
      </c>
      <c r="K31" s="16" t="str">
        <f t="shared" ref="K31:K32" si="30">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6"/>
        <v>X</v>
      </c>
      <c r="E32" s="16">
        <f>IF(D32="X",100*0.1,"")</f>
        <v>10</v>
      </c>
      <c r="F32" s="16" t="str">
        <f t="shared" si="27"/>
        <v/>
      </c>
      <c r="G32" s="16" t="str">
        <f>IF(F32="X",60*0.1,"")</f>
        <v/>
      </c>
      <c r="H32" s="16" t="str">
        <f t="shared" si="28"/>
        <v/>
      </c>
      <c r="I32" s="16" t="str">
        <f>IF(H32="X",30*0.1,"")</f>
        <v/>
      </c>
      <c r="J32" s="16" t="str">
        <f t="shared" si="29"/>
        <v/>
      </c>
      <c r="K32" s="16" t="str">
        <f t="shared" si="30"/>
        <v/>
      </c>
    </row>
    <row r="33" spans="1:11" ht="14.4" x14ac:dyDescent="0.3">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31">SUM(G31:G33)</f>
        <v>0</v>
      </c>
      <c r="H34" s="19"/>
      <c r="I34" s="19">
        <f t="shared" si="31"/>
        <v>0</v>
      </c>
      <c r="J34" s="19"/>
      <c r="K34" s="19">
        <f t="shared" si="31"/>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DIEGO ACEVEDO</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D44" si="32">IF($C43=CL,"X","")</f>
        <v>X</v>
      </c>
      <c r="E43" s="16">
        <f>IF(D43="X",100*0.1,"")</f>
        <v>10</v>
      </c>
      <c r="F43" s="16" t="str">
        <f t="shared" ref="F43:F44" si="33">IF($C43=L,"X","")</f>
        <v/>
      </c>
      <c r="G43" s="16" t="str">
        <f>IF(F43="X",60*0.1,"")</f>
        <v/>
      </c>
      <c r="H43" s="16" t="str">
        <f t="shared" ref="H43:H44" si="34">IF($C43=ML,"X","")</f>
        <v/>
      </c>
      <c r="I43" s="16" t="str">
        <f>IF(H43="X",30*0.1,"")</f>
        <v/>
      </c>
      <c r="J43" s="16" t="str">
        <f t="shared" ref="J43:J44" si="35">IF($C43=NL,"X","")</f>
        <v/>
      </c>
      <c r="K43" s="16" t="str">
        <f t="shared" ref="K43:K44" si="36">IF($J43="X",0,"")</f>
        <v/>
      </c>
    </row>
    <row r="44" spans="1:11" ht="24" x14ac:dyDescent="0.3">
      <c r="A44" s="61"/>
      <c r="B44" s="35" t="str">
        <f>RUBRICA!A15</f>
        <v>11. Expone el tema utilizando un lenguaje técnico disciplinar al presentar la propuesta y responde evidenciando un manejo de la información. *</v>
      </c>
      <c r="C44" s="33" t="s">
        <v>7</v>
      </c>
      <c r="D44" s="16" t="str">
        <f t="shared" si="32"/>
        <v>X</v>
      </c>
      <c r="E44" s="16">
        <f>IF(D44="X",100*0.1,"")</f>
        <v>10</v>
      </c>
      <c r="F44" s="16" t="str">
        <f t="shared" si="33"/>
        <v/>
      </c>
      <c r="G44" s="16" t="str">
        <f>IF(F44="X",60*0.1,"")</f>
        <v/>
      </c>
      <c r="H44" s="16" t="str">
        <f t="shared" si="34"/>
        <v/>
      </c>
      <c r="I44" s="16" t="str">
        <f>IF(H44="X",30*0.1,"")</f>
        <v/>
      </c>
      <c r="J44" s="16" t="str">
        <f t="shared" si="35"/>
        <v/>
      </c>
      <c r="K44" s="16" t="str">
        <f t="shared" si="36"/>
        <v/>
      </c>
    </row>
    <row r="45" spans="1:11" ht="15.75" customHeight="1" x14ac:dyDescent="0.3">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7">SUM(G43:G45)</f>
        <v>0</v>
      </c>
      <c r="H46" s="19"/>
      <c r="I46" s="19">
        <f t="shared" ref="I46" si="38">SUM(I43:I45)</f>
        <v>0</v>
      </c>
      <c r="J46" s="19"/>
      <c r="K46" s="19">
        <f t="shared" ref="K46" si="39">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t="str">
        <f>B6</f>
        <v>ALEXIS GONZALEZ</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t="str">
        <f t="shared" ref="D54:D55" si="40">IF($C54=CL,"X","")</f>
        <v>X</v>
      </c>
      <c r="E54" s="16">
        <f>IF(D54="X",100*0.1,"")</f>
        <v>10</v>
      </c>
      <c r="F54" s="16" t="str">
        <f t="shared" ref="F54:F55" si="41">IF($C54=L,"X","")</f>
        <v/>
      </c>
      <c r="G54" s="16" t="str">
        <f>IF(F54="X",60*0.1,"")</f>
        <v/>
      </c>
      <c r="H54" s="16" t="str">
        <f t="shared" ref="H54:H55" si="42">IF($C54=ML,"X","")</f>
        <v/>
      </c>
      <c r="I54" s="16" t="str">
        <f>IF(H54="X",30*0.1,"")</f>
        <v/>
      </c>
      <c r="J54" s="16" t="str">
        <f t="shared" ref="J54:J55" si="43">IF($C54=NL,"X","")</f>
        <v/>
      </c>
      <c r="K54" s="16" t="str">
        <f t="shared" ref="K54:K55" si="44">IF($J54="X",0,"")</f>
        <v/>
      </c>
    </row>
    <row r="55" spans="1:11" ht="24" x14ac:dyDescent="0.3">
      <c r="A55" s="61"/>
      <c r="B55" s="35" t="str">
        <f>RUBRICA!A15</f>
        <v>11. Expone el tema utilizando un lenguaje técnico disciplinar al presentar la propuesta y responde evidenciando un manejo de la información. *</v>
      </c>
      <c r="C55" s="33" t="s">
        <v>7</v>
      </c>
      <c r="D55" s="16" t="str">
        <f t="shared" si="40"/>
        <v>X</v>
      </c>
      <c r="E55" s="16">
        <f>IF(D55="X",100*0.1,"")</f>
        <v>10</v>
      </c>
      <c r="F55" s="16" t="str">
        <f t="shared" si="41"/>
        <v/>
      </c>
      <c r="G55" s="16" t="str">
        <f>IF(F55="X",60*0.1,"")</f>
        <v/>
      </c>
      <c r="H55" s="16" t="str">
        <f t="shared" si="42"/>
        <v/>
      </c>
      <c r="I55" s="16" t="str">
        <f>IF(H55="X",30*0.1,"")</f>
        <v/>
      </c>
      <c r="J55" s="16" t="str">
        <f t="shared" si="43"/>
        <v/>
      </c>
      <c r="K55" s="16" t="str">
        <f t="shared" si="44"/>
        <v/>
      </c>
    </row>
    <row r="56" spans="1:11" ht="15.75" customHeight="1" x14ac:dyDescent="0.3">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30</v>
      </c>
      <c r="D57" s="19">
        <f>COUNTIF(D55:D56,"X")</f>
        <v>2</v>
      </c>
      <c r="E57" s="19">
        <f>SUM(E54:E56)</f>
        <v>30</v>
      </c>
      <c r="F57" s="19">
        <f t="shared" ref="F57" si="45">SUM(F54:F56)</f>
        <v>0</v>
      </c>
      <c r="G57" s="19">
        <f t="shared" ref="G57" si="46">SUM(G54:G56)</f>
        <v>0</v>
      </c>
      <c r="H57" s="19">
        <f t="shared" ref="H57" si="47">SUM(H54:H56)</f>
        <v>0</v>
      </c>
      <c r="I57" s="19">
        <f t="shared" ref="I57" si="48">SUM(I54:I56)</f>
        <v>0</v>
      </c>
      <c r="J57" s="19">
        <f t="shared" ref="J57" si="49">SUM(J54:J56)</f>
        <v>0</v>
      </c>
      <c r="K57" s="19">
        <f t="shared" ref="K57" si="50">SUM(K54:K56)</f>
        <v>0</v>
      </c>
    </row>
    <row r="58" spans="1:11" ht="15.75" customHeight="1" x14ac:dyDescent="0.35">
      <c r="A58" s="50"/>
      <c r="B58" s="17" t="s">
        <v>12</v>
      </c>
      <c r="C58" s="20">
        <f>VLOOKUP(C57,ESCALA_TRAB_EQUIP!A2:B62,2,FALSE)</f>
        <v>7</v>
      </c>
    </row>
    <row r="59" spans="1:11" ht="15.75" customHeight="1" x14ac:dyDescent="0.35">
      <c r="B59" s="22"/>
      <c r="C59" s="23"/>
    </row>
    <row r="60" spans="1:11" ht="15.75" customHeight="1" x14ac:dyDescent="0.3"/>
    <row r="61" spans="1:11" ht="15.75" customHeight="1" x14ac:dyDescent="0.3">
      <c r="A61" s="60" t="s">
        <v>13</v>
      </c>
      <c r="B61" s="49" t="s">
        <v>14</v>
      </c>
      <c r="C61" s="52" t="str">
        <f>+B7</f>
        <v>RENATO CHICAHUAL</v>
      </c>
      <c r="D61" s="53"/>
      <c r="E61" s="53"/>
      <c r="F61" s="53"/>
      <c r="G61" s="53"/>
      <c r="H61" s="53"/>
      <c r="I61" s="53"/>
      <c r="J61" s="53"/>
      <c r="K61" s="54"/>
    </row>
    <row r="62" spans="1:11" ht="15.75" customHeight="1" x14ac:dyDescent="0.3">
      <c r="A62" s="61"/>
      <c r="B62" s="50"/>
      <c r="C62" s="55"/>
      <c r="D62" s="56"/>
      <c r="E62" s="56"/>
      <c r="F62" s="56"/>
      <c r="G62" s="56"/>
      <c r="H62" s="56"/>
      <c r="I62" s="56"/>
      <c r="J62" s="56"/>
      <c r="K62" s="57"/>
    </row>
    <row r="63" spans="1:11" ht="15.75" customHeight="1" x14ac:dyDescent="0.3">
      <c r="A63" s="61"/>
      <c r="B63" s="14" t="s">
        <v>15</v>
      </c>
      <c r="C63" s="51" t="s">
        <v>4</v>
      </c>
      <c r="D63" s="58" t="s">
        <v>5</v>
      </c>
      <c r="E63" s="62"/>
      <c r="F63" s="62"/>
      <c r="G63" s="62"/>
      <c r="H63" s="62"/>
      <c r="I63" s="62"/>
      <c r="J63" s="62"/>
      <c r="K63" s="59"/>
    </row>
    <row r="64" spans="1:11" ht="15.75" customHeight="1" x14ac:dyDescent="0.3">
      <c r="A64" s="61"/>
      <c r="B64" s="15" t="s">
        <v>6</v>
      </c>
      <c r="C64" s="50"/>
      <c r="D64" s="58" t="s">
        <v>7</v>
      </c>
      <c r="E64" s="59"/>
      <c r="F64" s="58" t="s">
        <v>8</v>
      </c>
      <c r="G64" s="59"/>
      <c r="H64" s="58" t="s">
        <v>16</v>
      </c>
      <c r="I64" s="59"/>
      <c r="J64" s="58" t="s">
        <v>10</v>
      </c>
      <c r="K64" s="59"/>
    </row>
    <row r="65" spans="1:11" ht="25.95" customHeight="1" x14ac:dyDescent="0.3">
      <c r="A65" s="61"/>
      <c r="B65" s="35" t="str">
        <f>RUBRICA!A18</f>
        <v>Total</v>
      </c>
      <c r="C65" s="33" t="s">
        <v>7</v>
      </c>
      <c r="D65" s="16" t="str">
        <f t="shared" ref="D65:D66" si="51">IF($C65=CL,"X","")</f>
        <v>X</v>
      </c>
      <c r="E65" s="16">
        <f>IF(D65="X",100*0.1,"")</f>
        <v>10</v>
      </c>
      <c r="F65" s="16" t="str">
        <f t="shared" ref="F65:F66" si="52">IF($C65=L,"X","")</f>
        <v/>
      </c>
      <c r="G65" s="16" t="str">
        <f>IF(F65="X",60*0.1,"")</f>
        <v/>
      </c>
      <c r="H65" s="16" t="str">
        <f t="shared" ref="H65:H66" si="53">IF($C65=ML,"X","")</f>
        <v/>
      </c>
      <c r="I65" s="16" t="str">
        <f>IF(H65="X",30*0.1,"")</f>
        <v/>
      </c>
      <c r="J65" s="16" t="str">
        <f t="shared" ref="J65:J66" si="54">IF($C65=NL,"X","")</f>
        <v/>
      </c>
      <c r="K65" s="16" t="str">
        <f t="shared" ref="K65:K66" si="55">IF($J65="X",0,"")</f>
        <v/>
      </c>
    </row>
    <row r="66" spans="1:11" ht="14.4" x14ac:dyDescent="0.3">
      <c r="A66" s="61"/>
      <c r="B66" s="35">
        <f>RUBRICA!A26</f>
        <v>0</v>
      </c>
      <c r="C66" s="33" t="s">
        <v>7</v>
      </c>
      <c r="D66" s="16" t="str">
        <f t="shared" si="51"/>
        <v>X</v>
      </c>
      <c r="E66" s="16">
        <f>IF(D66="X",100*0.1,"")</f>
        <v>10</v>
      </c>
      <c r="F66" s="16" t="str">
        <f t="shared" si="52"/>
        <v/>
      </c>
      <c r="G66" s="16" t="str">
        <f>IF(F66="X",60*0.1,"")</f>
        <v/>
      </c>
      <c r="H66" s="16" t="str">
        <f t="shared" si="53"/>
        <v/>
      </c>
      <c r="I66" s="16" t="str">
        <f>IF(H66="X",30*0.1,"")</f>
        <v/>
      </c>
      <c r="J66" s="16" t="str">
        <f t="shared" si="54"/>
        <v/>
      </c>
      <c r="K66" s="16" t="str">
        <f t="shared" si="55"/>
        <v/>
      </c>
    </row>
    <row r="67" spans="1:11" ht="15.75" customHeight="1" x14ac:dyDescent="0.3">
      <c r="A67" s="61"/>
      <c r="B67" s="35">
        <f>RUBRICA!A28</f>
        <v>0</v>
      </c>
      <c r="C67" s="33" t="s">
        <v>7</v>
      </c>
      <c r="D67" s="16" t="str">
        <f>IF($C67=CL,"X","")</f>
        <v>X</v>
      </c>
      <c r="E67" s="16">
        <f>IF(D67="X",100*0.1,"")</f>
        <v>10</v>
      </c>
      <c r="F67" s="16" t="str">
        <f>IF($C67=L,"X","")</f>
        <v/>
      </c>
      <c r="G67" s="16" t="str">
        <f>IF(F67="X",60*0.1,"")</f>
        <v/>
      </c>
      <c r="H67" s="16" t="str">
        <f>IF($C67=ML,"X","")</f>
        <v/>
      </c>
      <c r="I67" s="16" t="str">
        <f>IF(H67="X",30*0.1,"")</f>
        <v/>
      </c>
      <c r="J67" s="16" t="str">
        <f>IF($C67=NL,"X","")</f>
        <v/>
      </c>
      <c r="K67" s="16" t="str">
        <f>IF($J67="X",0,"")</f>
        <v/>
      </c>
    </row>
    <row r="68" spans="1:11" ht="15.75" customHeight="1" x14ac:dyDescent="0.35">
      <c r="A68" s="61"/>
      <c r="B68" s="21" t="s">
        <v>17</v>
      </c>
      <c r="C68" s="18">
        <f>E68+G68+I68+K68</f>
        <v>30</v>
      </c>
      <c r="D68" s="19">
        <f>COUNTIF(D66:D67,"X")</f>
        <v>2</v>
      </c>
      <c r="E68" s="19">
        <f>SUM(E65:E67)</f>
        <v>30</v>
      </c>
      <c r="F68" s="19">
        <f t="shared" ref="F68:K68" si="56">SUM(F65:F67)</f>
        <v>0</v>
      </c>
      <c r="G68" s="19">
        <f t="shared" si="56"/>
        <v>0</v>
      </c>
      <c r="H68" s="19">
        <f t="shared" si="56"/>
        <v>0</v>
      </c>
      <c r="I68" s="19">
        <f t="shared" si="56"/>
        <v>0</v>
      </c>
      <c r="J68" s="19">
        <f t="shared" si="56"/>
        <v>0</v>
      </c>
      <c r="K68" s="19">
        <f t="shared" si="56"/>
        <v>0</v>
      </c>
    </row>
    <row r="69" spans="1:11" ht="15.75" customHeight="1" x14ac:dyDescent="0.35">
      <c r="A69" s="50"/>
      <c r="B69" s="17" t="s">
        <v>12</v>
      </c>
      <c r="C69" s="20">
        <f>VLOOKUP(C68,ESCALA_TRAB_EQUIP!A13:B73,2,FALSE)</f>
        <v>7</v>
      </c>
    </row>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44">
    <mergeCell ref="A61:A69"/>
    <mergeCell ref="B61:B62"/>
    <mergeCell ref="C61:K62"/>
    <mergeCell ref="C63:C64"/>
    <mergeCell ref="D63:K63"/>
    <mergeCell ref="D64:E64"/>
    <mergeCell ref="F64:G64"/>
    <mergeCell ref="H64:I64"/>
    <mergeCell ref="J64:K64"/>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Claudio Alberto Perez Vergara</cp:lastModifiedBy>
  <cp:revision/>
  <dcterms:created xsi:type="dcterms:W3CDTF">2023-08-07T04:08:01Z</dcterms:created>
  <dcterms:modified xsi:type="dcterms:W3CDTF">2025-09-08T19:18:17Z</dcterms:modified>
  <cp:category/>
  <cp:contentStatus/>
</cp:coreProperties>
</file>